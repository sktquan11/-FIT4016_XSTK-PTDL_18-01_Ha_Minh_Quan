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B30" i="1"/>
  <c r="B27" i="1"/>
  <c r="B26" i="1"/>
  <c r="B23" i="1"/>
  <c r="B22" i="1"/>
  <c r="B18" i="1"/>
  <c r="B19" i="1"/>
  <c r="B15" i="1"/>
  <c r="B14" i="1"/>
  <c r="B11" i="1"/>
  <c r="B10" i="1"/>
  <c r="B7" i="1"/>
  <c r="B6" i="1"/>
  <c r="B3" i="1"/>
  <c r="B2" i="1"/>
</calcChain>
</file>

<file path=xl/sharedStrings.xml><?xml version="1.0" encoding="utf-8"?>
<sst xmlns="http://schemas.openxmlformats.org/spreadsheetml/2006/main" count="25" uniqueCount="25">
  <si>
    <t>B1:</t>
  </si>
  <si>
    <t>1.1</t>
  </si>
  <si>
    <t>1.2</t>
  </si>
  <si>
    <t>B2</t>
  </si>
  <si>
    <t>2.1</t>
  </si>
  <si>
    <t>2.2</t>
  </si>
  <si>
    <t>B3:</t>
  </si>
  <si>
    <t>3.1</t>
  </si>
  <si>
    <t>3.2</t>
  </si>
  <si>
    <t>B4:</t>
  </si>
  <si>
    <t>4.1</t>
  </si>
  <si>
    <t>4;2</t>
  </si>
  <si>
    <t>B5:</t>
  </si>
  <si>
    <t>5.1</t>
  </si>
  <si>
    <t>5.2</t>
  </si>
  <si>
    <t>B6:</t>
  </si>
  <si>
    <t>6.1</t>
  </si>
  <si>
    <t>6.2</t>
  </si>
  <si>
    <t>B7:</t>
  </si>
  <si>
    <t>7.1</t>
  </si>
  <si>
    <t>7.2</t>
  </si>
  <si>
    <t>B8:</t>
  </si>
  <si>
    <t>8.1</t>
  </si>
  <si>
    <t>8.2</t>
  </si>
  <si>
    <t>Hà Minh Quân CNTT 1801 1871020470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</si>
</sst>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2" sqref="E2"/>
    </sheetView>
  </sheetViews>
  <sheetFormatPr defaultRowHeight="15" x14ac:dyDescent="0.25"/>
  <cols>
    <col min="2" max="2" width="12" bestFit="1" customWidth="1"/>
  </cols>
  <sheetData>
    <row r="1" spans="1:5" x14ac:dyDescent="0.25">
      <c r="A1" t="s">
        <v>0</v>
      </c>
      <c r="E1" t="s">
        <v>24</v>
      </c>
    </row>
    <row r="2" spans="1:5" x14ac:dyDescent="0.25">
      <c r="A2" t="s">
        <v>1</v>
      </c>
      <c r="B2">
        <f>_xlfn.BINOM.DIST(8,12,0.7,FALSE)</f>
        <v>0.23113969609500007</v>
      </c>
    </row>
    <row r="3" spans="1:5" x14ac:dyDescent="0.25">
      <c r="A3" t="s">
        <v>2</v>
      </c>
      <c r="B3">
        <f>_xlfn.BINOM.DIST(9,12,0.7,TRUE)</f>
        <v>0.74718465214500007</v>
      </c>
    </row>
    <row r="5" spans="1:5" x14ac:dyDescent="0.25">
      <c r="A5" t="s">
        <v>3</v>
      </c>
    </row>
    <row r="6" spans="1:5" x14ac:dyDescent="0.25">
      <c r="A6" t="s">
        <v>4</v>
      </c>
      <c r="B6">
        <f>_xlfn.POISSON.DIST(3,2.5,FALSE)</f>
        <v>0.21376301724973648</v>
      </c>
    </row>
    <row r="7" spans="1:5" x14ac:dyDescent="0.25">
      <c r="A7" t="s">
        <v>5</v>
      </c>
      <c r="B7">
        <f>_xlfn.POISSON.DIST(2,2.5,TRUE)</f>
        <v>0.54381311588332959</v>
      </c>
    </row>
    <row r="9" spans="1:5" x14ac:dyDescent="0.25">
      <c r="A9" t="s">
        <v>6</v>
      </c>
    </row>
    <row r="10" spans="1:5" x14ac:dyDescent="0.25">
      <c r="A10" t="s">
        <v>7</v>
      </c>
      <c r="B10">
        <f>_xlfn.NORM.DIST(1300,1200,100,TRUE)</f>
        <v>0.84134474606854304</v>
      </c>
    </row>
    <row r="11" spans="1:5" x14ac:dyDescent="0.25">
      <c r="A11" t="s">
        <v>8</v>
      </c>
      <c r="B11">
        <f>_xlfn.NORM.DIST(1250,1200,100,TRUE)-_xlfn.NORM.DIST(1100,1200,100,TRUE)</f>
        <v>0.53280720734255616</v>
      </c>
    </row>
    <row r="13" spans="1:5" x14ac:dyDescent="0.25">
      <c r="A13" t="s">
        <v>9</v>
      </c>
    </row>
    <row r="14" spans="1:5" x14ac:dyDescent="0.25">
      <c r="A14" t="s">
        <v>10</v>
      </c>
      <c r="B14">
        <f>_xlfn.NORM.S.DIST(1.4,TRUE)</f>
        <v>0.91924334076622893</v>
      </c>
    </row>
    <row r="15" spans="1:5" x14ac:dyDescent="0.25">
      <c r="A15" t="s">
        <v>11</v>
      </c>
      <c r="B15">
        <f>_xlfn.NORM.S.INV(0.975)</f>
        <v>1.9599639845400536</v>
      </c>
    </row>
    <row r="17" spans="1:2" x14ac:dyDescent="0.25">
      <c r="A17" t="s">
        <v>12</v>
      </c>
    </row>
    <row r="18" spans="1:2" x14ac:dyDescent="0.25">
      <c r="A18" t="s">
        <v>13</v>
      </c>
      <c r="B18">
        <f>_xlfn.T.DIST(2.12,15,TRUE)</f>
        <v>0.97445349581525154</v>
      </c>
    </row>
    <row r="19" spans="1:2" x14ac:dyDescent="0.25">
      <c r="A19" t="s">
        <v>14</v>
      </c>
      <c r="B19">
        <f>_xlfn.T.INV(0.95,16)</f>
        <v>1.7458836762762506</v>
      </c>
    </row>
    <row r="21" spans="1:2" x14ac:dyDescent="0.25">
      <c r="A21" t="s">
        <v>15</v>
      </c>
    </row>
    <row r="22" spans="1:2" x14ac:dyDescent="0.25">
      <c r="A22" t="s">
        <v>16</v>
      </c>
      <c r="B22">
        <f>(6-4) / (14-4)</f>
        <v>0.2</v>
      </c>
    </row>
    <row r="23" spans="1:2" x14ac:dyDescent="0.25">
      <c r="A23" t="s">
        <v>17</v>
      </c>
      <c r="B23">
        <f>(12-8) / (14-4)</f>
        <v>0.4</v>
      </c>
    </row>
    <row r="25" spans="1:2" x14ac:dyDescent="0.25">
      <c r="A25" t="s">
        <v>18</v>
      </c>
    </row>
    <row r="26" spans="1:2" x14ac:dyDescent="0.25">
      <c r="A26" t="s">
        <v>19</v>
      </c>
      <c r="B26">
        <f>_xlfn.CHISQ.DIST(10.64,6,TRUE)</f>
        <v>0.89983945993987757</v>
      </c>
    </row>
    <row r="27" spans="1:2" x14ac:dyDescent="0.25">
      <c r="A27" t="s">
        <v>20</v>
      </c>
      <c r="B27">
        <f>_xlfn.CHISQ.INV(0.95,6)</f>
        <v>12.591587243743977</v>
      </c>
    </row>
    <row r="29" spans="1:2" x14ac:dyDescent="0.25">
      <c r="A29" t="s">
        <v>21</v>
      </c>
    </row>
    <row r="30" spans="1:2" x14ac:dyDescent="0.25">
      <c r="A30" t="s">
        <v>22</v>
      </c>
      <c r="B30">
        <f>_xlfn.F.DIST(3.12,4,9,TRUE)</f>
        <v>0.92789119547700227</v>
      </c>
    </row>
    <row r="31" spans="1:2" x14ac:dyDescent="0.25">
      <c r="A31" t="s">
        <v>23</v>
      </c>
      <c r="B31">
        <f>_xlfn.F.INV(0.95,4,9)</f>
        <v>3.6330885114190798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2025-12-20T03:46:25Z</dcterms:created>
  <dcterms:modified xsi:type="dcterms:W3CDTF">2025-12-20T04:22:57Z</dcterms:modified>
</cp:coreProperties>
</file>