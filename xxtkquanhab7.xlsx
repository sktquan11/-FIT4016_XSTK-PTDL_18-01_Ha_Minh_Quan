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<sst xmlns="http://schemas.openxmlformats.org/spreadsheetml/2006/main" count="21" uniqueCount="21">
  <si>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Quan sat</t>
  </si>
  <si>
    <t>Thu nhap(X)</t>
  </si>
  <si>
    <t>Chi tieu(Y)</t>
  </si>
  <si>
    <t>x_i-Xngang</t>
  </si>
  <si>
    <t>y_i-y ngang</t>
  </si>
  <si>
    <t>(y_i-y ngang)^2</t>
  </si>
  <si>
    <t>(x_i-xngang)*(y_i-yngang)</t>
  </si>
  <si>
    <t>(x_i-xngang)^2</t>
  </si>
  <si>
    <t>y^</t>
  </si>
  <si>
    <t>e</t>
  </si>
  <si>
    <t>e^2</t>
  </si>
  <si>
    <t>Tổng</t>
  </si>
  <si>
    <t>TB</t>
  </si>
  <si>
    <t>Beta1</t>
  </si>
  <si>
    <t>Beta0</t>
  </si>
  <si>
    <t>PT Hồi quy</t>
  </si>
  <si>
    <t>y^=C15+C14*x</t>
  </si>
  <si>
    <t>SSE</t>
  </si>
  <si>
    <t>SST</t>
  </si>
  <si>
    <t>R^2</t>
  </si>
  <si>
    <t>MSE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</si>
</sst>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0"/>
  <sheetViews>
    <sheetView tabSelected="1" zoomScale="145" zoomScaleNormal="145" workbookViewId="0">
      <selection activeCell="H24" sqref="H24"/>
    </sheetView>
  </sheetViews>
  <sheetFormatPr defaultColWidth="9.14285714285714" defaultRowHeight="15"/>
  <cols>
    <col min="2" max="2" width="13.1809523809524" customWidth="1"/>
    <col min="3" max="3" width="14"/>
    <col min="7" max="7" width="12.5333333333333" customWidth="1"/>
    <col min="8" max="8" width="18.8285714285714" customWidth="1"/>
    <col min="9" max="9" width="12.2" customWidth="1"/>
    <col min="10" max="10" width="12.8571428571429"/>
    <col min="11" max="11" width="14"/>
    <col min="12" max="12" width="12.8571428571429"/>
  </cols>
  <sheetData>
    <row r="1" spans="2:12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10</v>
      </c>
    </row>
    <row r="2" spans="2:12">
      <c r="B2" s="1">
        <v>1</v>
      </c>
      <c r="C2" s="1">
        <v>8</v>
      </c>
      <c r="D2" s="1">
        <v>8</v>
      </c>
      <c r="E2" s="1" cm="1">
        <f t="array" ref="E2:E11">C2:C11-$C$13</f>
        <v>-6.6</v>
      </c>
      <c r="F2" s="1" cm="1">
        <f t="array" ref="F2:F11">D2:D11-$D$13</f>
        <v>-4.5</v>
      </c>
      <c r="G2" s="1" cm="1">
        <f t="array" ref="G2:G11">_xlfn.ANCHORARRAY(F2)^2</f>
        <v>20.25</v>
      </c>
      <c r="H2" s="1">
        <f>E2*F2</f>
        <v>29.7</v>
      </c>
      <c r="I2" s="1">
        <f>E2^2</f>
        <v>43.56</v>
      </c>
      <c r="J2" s="1" cm="1">
        <f t="array" ref="J2:J11">$C$15+$C$14*$C$2:$C$11</f>
        <v>8.90551181102362</v>
      </c>
      <c r="K2" s="1" cm="1">
        <f t="array" ref="K2:K11">$D$2:$D$11-_xlfn.ANCHORARRAY(J2)</f>
        <v>-0.905511811023622</v>
      </c>
      <c r="L2" s="1" cm="1">
        <f t="array" ref="L2:L11">_xlfn.ANCHORARRAY(K2)^2</f>
        <v>0.81995163990328</v>
      </c>
    </row>
    <row r="3" spans="2:12">
      <c r="B3" s="1">
        <v>2</v>
      </c>
      <c r="C3" s="1">
        <v>10</v>
      </c>
      <c r="D3" s="1">
        <v>11</v>
      </c>
      <c r="E3" s="1">
        <v>-4.6</v>
      </c>
      <c r="F3" s="1">
        <v>-1.5</v>
      </c>
      <c r="G3" s="1">
        <v>2.25</v>
      </c>
      <c r="H3" s="1">
        <f t="shared" ref="H3:H11" si="0">E3*F3</f>
        <v>6.9</v>
      </c>
      <c r="I3" s="1">
        <f t="shared" ref="I3:I11" si="1">E3^2</f>
        <v>21.16</v>
      </c>
      <c r="J3" s="1">
        <v>9.99475065616798</v>
      </c>
      <c r="K3" s="1">
        <v>1.00524934383202</v>
      </c>
      <c r="L3" s="1">
        <v>1.01052624327471</v>
      </c>
    </row>
    <row r="4" spans="2:12">
      <c r="B4" s="1">
        <v>3</v>
      </c>
      <c r="C4" s="1">
        <v>12</v>
      </c>
      <c r="D4" s="1">
        <v>11</v>
      </c>
      <c r="E4" s="1">
        <v>-2.6</v>
      </c>
      <c r="F4" s="1">
        <v>-1.5</v>
      </c>
      <c r="G4" s="1">
        <v>2.25</v>
      </c>
      <c r="H4" s="1">
        <f t="shared" si="0"/>
        <v>3.9</v>
      </c>
      <c r="I4" s="1">
        <f t="shared" si="1"/>
        <v>6.76</v>
      </c>
      <c r="J4" s="1">
        <v>11.0839895013123</v>
      </c>
      <c r="K4" s="1">
        <v>-0.0839895013123346</v>
      </c>
      <c r="L4" s="1">
        <v>0.00705423633069466</v>
      </c>
    </row>
    <row r="5" spans="2:12">
      <c r="B5" s="1">
        <v>4</v>
      </c>
      <c r="C5" s="1">
        <v>12</v>
      </c>
      <c r="D5" s="1">
        <v>10</v>
      </c>
      <c r="E5" s="1">
        <v>-2.6</v>
      </c>
      <c r="F5" s="1">
        <v>-2.5</v>
      </c>
      <c r="G5" s="1">
        <v>6.25</v>
      </c>
      <c r="H5" s="1">
        <f t="shared" si="0"/>
        <v>6.5</v>
      </c>
      <c r="I5" s="1">
        <f t="shared" si="1"/>
        <v>6.76</v>
      </c>
      <c r="J5" s="1">
        <v>11.0839895013123</v>
      </c>
      <c r="K5" s="1">
        <v>-1.08398950131233</v>
      </c>
      <c r="L5" s="1">
        <v>1.17503323895536</v>
      </c>
    </row>
    <row r="6" spans="2:12">
      <c r="B6" s="1">
        <v>5</v>
      </c>
      <c r="C6" s="1">
        <v>14</v>
      </c>
      <c r="D6" s="1">
        <v>14</v>
      </c>
      <c r="E6" s="1">
        <v>-0.6</v>
      </c>
      <c r="F6" s="1">
        <v>1.5</v>
      </c>
      <c r="G6" s="1">
        <v>2.25</v>
      </c>
      <c r="H6" s="1">
        <f t="shared" si="0"/>
        <v>-0.899999999999999</v>
      </c>
      <c r="I6" s="1">
        <f t="shared" si="1"/>
        <v>0.36</v>
      </c>
      <c r="J6" s="1">
        <v>12.1732283464567</v>
      </c>
      <c r="K6" s="1">
        <v>1.82677165354331</v>
      </c>
      <c r="L6" s="1">
        <v>3.33709467418935</v>
      </c>
    </row>
    <row r="7" spans="2:12">
      <c r="B7" s="1">
        <v>6</v>
      </c>
      <c r="C7" s="1">
        <v>16</v>
      </c>
      <c r="D7" s="1">
        <v>15</v>
      </c>
      <c r="E7" s="1">
        <v>1.4</v>
      </c>
      <c r="F7" s="1">
        <v>2.5</v>
      </c>
      <c r="G7" s="1">
        <v>6.25</v>
      </c>
      <c r="H7" s="1">
        <f t="shared" si="0"/>
        <v>3.5</v>
      </c>
      <c r="I7" s="1">
        <f t="shared" si="1"/>
        <v>1.96</v>
      </c>
      <c r="J7" s="1">
        <v>13.2624671916011</v>
      </c>
      <c r="K7" s="1">
        <v>1.73753280839895</v>
      </c>
      <c r="L7" s="1">
        <v>3.01902026026274</v>
      </c>
    </row>
    <row r="8" spans="2:12">
      <c r="B8" s="1">
        <v>7</v>
      </c>
      <c r="C8" s="1">
        <v>16</v>
      </c>
      <c r="D8" s="1">
        <v>11</v>
      </c>
      <c r="E8" s="1">
        <v>1.4</v>
      </c>
      <c r="F8" s="1">
        <v>-1.5</v>
      </c>
      <c r="G8" s="1">
        <v>2.25</v>
      </c>
      <c r="H8" s="1">
        <f t="shared" si="0"/>
        <v>-2.1</v>
      </c>
      <c r="I8" s="1">
        <f t="shared" si="1"/>
        <v>1.96</v>
      </c>
      <c r="J8" s="1">
        <v>13.2624671916011</v>
      </c>
      <c r="K8" s="1">
        <v>-2.26246719160105</v>
      </c>
      <c r="L8" s="1">
        <v>5.11875779307115</v>
      </c>
    </row>
    <row r="9" spans="2:12">
      <c r="B9" s="1">
        <v>8</v>
      </c>
      <c r="C9" s="1">
        <v>18</v>
      </c>
      <c r="D9" s="1">
        <v>15</v>
      </c>
      <c r="E9" s="1">
        <v>3.4</v>
      </c>
      <c r="F9" s="1">
        <v>2.5</v>
      </c>
      <c r="G9" s="1">
        <v>6.25</v>
      </c>
      <c r="H9" s="1">
        <f t="shared" si="0"/>
        <v>8.5</v>
      </c>
      <c r="I9" s="1">
        <f t="shared" si="1"/>
        <v>11.56</v>
      </c>
      <c r="J9" s="1">
        <v>14.3517060367454</v>
      </c>
      <c r="K9" s="1">
        <v>0.648293963254595</v>
      </c>
      <c r="L9" s="1">
        <v>0.42028506279235</v>
      </c>
    </row>
    <row r="10" spans="2:12">
      <c r="B10" s="1">
        <v>9</v>
      </c>
      <c r="C10" s="1">
        <v>20</v>
      </c>
      <c r="D10" s="1">
        <v>14</v>
      </c>
      <c r="E10" s="1">
        <v>5.4</v>
      </c>
      <c r="F10" s="1">
        <v>1.5</v>
      </c>
      <c r="G10" s="1">
        <v>2.25</v>
      </c>
      <c r="H10" s="1">
        <f t="shared" si="0"/>
        <v>8.1</v>
      </c>
      <c r="I10" s="1">
        <f t="shared" si="1"/>
        <v>29.16</v>
      </c>
      <c r="J10" s="1">
        <v>15.4409448818898</v>
      </c>
      <c r="K10" s="1">
        <v>-1.44094488188976</v>
      </c>
      <c r="L10" s="1">
        <v>2.0763221526443</v>
      </c>
    </row>
    <row r="11" spans="2:12">
      <c r="B11" s="1">
        <v>10</v>
      </c>
      <c r="C11" s="1">
        <v>20</v>
      </c>
      <c r="D11" s="1">
        <v>16</v>
      </c>
      <c r="E11" s="1">
        <v>5.4</v>
      </c>
      <c r="F11" s="1">
        <v>3.5</v>
      </c>
      <c r="G11" s="1">
        <v>12.25</v>
      </c>
      <c r="H11" s="1">
        <f t="shared" si="0"/>
        <v>18.9</v>
      </c>
      <c r="I11" s="1">
        <f t="shared" si="1"/>
        <v>29.16</v>
      </c>
      <c r="J11" s="1">
        <v>15.4409448818898</v>
      </c>
      <c r="K11" s="1">
        <v>0.559055118110237</v>
      </c>
      <c r="L11" s="1">
        <v>0.312542625085251</v>
      </c>
    </row>
    <row r="12" spans="2:12">
      <c r="B12" s="1" t="s">
        <v>11</v>
      </c>
      <c r="C12">
        <f>SUM(C2:C11)</f>
        <v>146</v>
      </c>
      <c r="D12">
        <f t="shared" ref="D12:L12" si="2">SUM(D2:D11)</f>
        <v>125</v>
      </c>
      <c r="E12">
        <f t="shared" si="2"/>
        <v>0</v>
      </c>
      <c r="F12">
        <f t="shared" si="2"/>
        <v>0</v>
      </c>
      <c r="G12">
        <f t="shared" si="2"/>
        <v>62.5</v>
      </c>
      <c r="H12">
        <f t="shared" si="2"/>
        <v>83</v>
      </c>
      <c r="I12">
        <f t="shared" si="2"/>
        <v>152.4</v>
      </c>
      <c r="J12">
        <f t="shared" si="2"/>
        <v>125</v>
      </c>
      <c r="K12">
        <f t="shared" si="2"/>
        <v>3.5527136788005e-15</v>
      </c>
      <c r="L12">
        <f t="shared" si="2"/>
        <v>17.2965879265092</v>
      </c>
    </row>
    <row r="13" spans="2:12">
      <c r="B13" s="1" t="s">
        <v>12</v>
      </c>
      <c r="C13">
        <f>AVERAGE(C2:C11)</f>
        <v>14.6</v>
      </c>
      <c r="D13">
        <f>AVERAGE(D2:D11)</f>
        <v>12.5</v>
      </c>
    </row>
    <row r="14" spans="2:12">
      <c r="B14" s="1" t="s">
        <v>13</v>
      </c>
      <c r="C14">
        <f>H12/I12</f>
        <v>0.544619422572178</v>
      </c>
    </row>
    <row r="15" spans="2:12">
      <c r="B15" s="1" t="s">
        <v>14</v>
      </c>
      <c r="C15">
        <f>D13-C14*C13</f>
        <v>4.54855643044619</v>
      </c>
    </row>
    <row r="16" spans="2:12">
      <c r="B16" s="2" t="s">
        <v>15</v>
      </c>
      <c r="C16" t="s">
        <v>16</v>
      </c>
    </row>
    <row r="17" spans="2:3">
      <c r="B17" s="1" t="s">
        <v>17</v>
      </c>
      <c r="C17">
        <f>SUM(_xlfn.ANCHORARRAY(L2))</f>
        <v>17.2965879265092</v>
      </c>
    </row>
    <row r="18" spans="2:3">
      <c r="B18" s="1" t="s">
        <v>18</v>
      </c>
      <c r="C18">
        <f>SUM(_xlfn.ANCHORARRAY(G2))</f>
        <v>62.5</v>
      </c>
    </row>
    <row r="19" spans="2:3">
      <c r="B19" s="1" t="s">
        <v>19</v>
      </c>
      <c r="C19">
        <f>1-C17/C18</f>
        <v>0.723254593175853</v>
      </c>
    </row>
    <row r="20" spans="2:3">
      <c r="B20" s="1" t="s">
        <v>20</v>
      </c>
      <c r="C20">
        <f>C17/10</f>
        <v>1.72965879265092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2026-01-17T08:57:43Z</dcterms:created>
  <dcterms:modified xsi:type="dcterms:W3CDTF">2026-01-17T10:27:04Z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D734AB52932A4C7CB0E8B7BF3AA65968_11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