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B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B20" i="1"/>
  <c r="B19" i="1"/>
  <c r="B18" i="1" l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4" i="1"/>
  <c r="D2" i="1"/>
  <c r="D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sharedStrings.xml><?xml version="1.0" encoding="utf-8"?>
<sst xmlns="http://schemas.openxmlformats.org/spreadsheetml/2006/main" count="9" uniqueCount="9">
  <si>
    <t>x</t>
  </si>
  <si>
    <t>Tần suất</t>
  </si>
  <si>
    <t>P(X=x)</t>
  </si>
  <si>
    <t>F(x)</t>
  </si>
  <si>
    <t>E(X)</t>
  </si>
  <si>
    <t>Var(X)</t>
  </si>
  <si>
    <t>SD(X)</t>
  </si>
  <si>
    <t>median</t>
  </si>
  <si>
    <t>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</si>
</sst>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B22" sqref="B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0</v>
      </c>
      <c r="B2">
        <v>4</v>
      </c>
      <c r="C2">
        <f>B2/SUM($B$2:$B$16)</f>
        <v>0.02</v>
      </c>
      <c r="D2">
        <f>C2</f>
        <v>0.02</v>
      </c>
      <c r="E2" t="str">
        <f>IF(D2&gt;=0.5, A2, "")</f>
        <v/>
      </c>
    </row>
    <row r="3" spans="1:5" x14ac:dyDescent="0.25">
      <c r="A3">
        <v>1</v>
      </c>
      <c r="B3">
        <v>8</v>
      </c>
      <c r="C3">
        <f t="shared" ref="C3:C16" si="0">B3/SUM($B$2:$B$16)</f>
        <v>0.04</v>
      </c>
      <c r="D3">
        <f>C2+C3</f>
        <v>0.06</v>
      </c>
      <c r="E3" t="str">
        <f t="shared" ref="E3:E16" si="1">IF(D3&gt;=0.5, A3, "")</f>
        <v/>
      </c>
    </row>
    <row r="4" spans="1:5" x14ac:dyDescent="0.25">
      <c r="A4">
        <v>2</v>
      </c>
      <c r="B4">
        <v>14</v>
      </c>
      <c r="C4">
        <f t="shared" si="0"/>
        <v>7.0000000000000007E-2</v>
      </c>
      <c r="D4">
        <f>D3+C4</f>
        <v>0.13</v>
      </c>
      <c r="E4" t="str">
        <f t="shared" si="1"/>
        <v/>
      </c>
    </row>
    <row r="5" spans="1:5" x14ac:dyDescent="0.25">
      <c r="A5">
        <v>3</v>
      </c>
      <c r="B5">
        <v>18</v>
      </c>
      <c r="C5">
        <f t="shared" si="0"/>
        <v>0.09</v>
      </c>
      <c r="D5">
        <f t="shared" ref="D5:D16" si="2">D4+C5</f>
        <v>0.22</v>
      </c>
      <c r="E5" t="str">
        <f t="shared" si="1"/>
        <v/>
      </c>
    </row>
    <row r="6" spans="1:5" x14ac:dyDescent="0.25">
      <c r="A6">
        <v>4</v>
      </c>
      <c r="B6">
        <v>22</v>
      </c>
      <c r="C6">
        <f t="shared" si="0"/>
        <v>0.11</v>
      </c>
      <c r="D6">
        <f t="shared" si="2"/>
        <v>0.33</v>
      </c>
      <c r="E6" t="str">
        <f t="shared" si="1"/>
        <v/>
      </c>
    </row>
    <row r="7" spans="1:5" x14ac:dyDescent="0.25">
      <c r="A7">
        <v>5</v>
      </c>
      <c r="B7">
        <v>28</v>
      </c>
      <c r="C7">
        <f t="shared" si="0"/>
        <v>0.14000000000000001</v>
      </c>
      <c r="D7">
        <f t="shared" si="2"/>
        <v>0.47000000000000003</v>
      </c>
      <c r="E7" t="str">
        <f t="shared" si="1"/>
        <v/>
      </c>
    </row>
    <row r="8" spans="1:5" x14ac:dyDescent="0.25">
      <c r="A8">
        <v>6</v>
      </c>
      <c r="B8">
        <v>30</v>
      </c>
      <c r="C8">
        <f t="shared" si="0"/>
        <v>0.15</v>
      </c>
      <c r="D8">
        <f t="shared" si="2"/>
        <v>0.62</v>
      </c>
      <c r="E8">
        <f t="shared" si="1"/>
        <v>6</v>
      </c>
    </row>
    <row r="9" spans="1:5" x14ac:dyDescent="0.25">
      <c r="A9">
        <v>7</v>
      </c>
      <c r="B9">
        <v>26</v>
      </c>
      <c r="C9">
        <f t="shared" si="0"/>
        <v>0.13</v>
      </c>
      <c r="D9">
        <f t="shared" si="2"/>
        <v>0.75</v>
      </c>
      <c r="E9">
        <f t="shared" si="1"/>
        <v>7</v>
      </c>
    </row>
    <row r="10" spans="1:5" x14ac:dyDescent="0.25">
      <c r="A10">
        <v>8</v>
      </c>
      <c r="B10">
        <v>20</v>
      </c>
      <c r="C10">
        <f t="shared" si="0"/>
        <v>0.1</v>
      </c>
      <c r="D10">
        <f t="shared" si="2"/>
        <v>0.85</v>
      </c>
      <c r="E10">
        <f t="shared" si="1"/>
        <v>8</v>
      </c>
    </row>
    <row r="11" spans="1:5" x14ac:dyDescent="0.25">
      <c r="A11">
        <v>9</v>
      </c>
      <c r="B11">
        <v>14</v>
      </c>
      <c r="C11">
        <f t="shared" si="0"/>
        <v>7.0000000000000007E-2</v>
      </c>
      <c r="D11">
        <f t="shared" si="2"/>
        <v>0.91999999999999993</v>
      </c>
      <c r="E11">
        <f t="shared" si="1"/>
        <v>9</v>
      </c>
    </row>
    <row r="12" spans="1:5" x14ac:dyDescent="0.25">
      <c r="A12">
        <v>10</v>
      </c>
      <c r="B12">
        <v>8</v>
      </c>
      <c r="C12">
        <f t="shared" si="0"/>
        <v>0.04</v>
      </c>
      <c r="D12">
        <f t="shared" si="2"/>
        <v>0.96</v>
      </c>
      <c r="E12">
        <f t="shared" si="1"/>
        <v>10</v>
      </c>
    </row>
    <row r="13" spans="1:5" x14ac:dyDescent="0.25">
      <c r="A13">
        <v>11</v>
      </c>
      <c r="B13">
        <v>4</v>
      </c>
      <c r="C13">
        <f t="shared" si="0"/>
        <v>0.02</v>
      </c>
      <c r="D13">
        <f t="shared" si="2"/>
        <v>0.98</v>
      </c>
      <c r="E13">
        <f t="shared" si="1"/>
        <v>11</v>
      </c>
    </row>
    <row r="14" spans="1:5" x14ac:dyDescent="0.25">
      <c r="A14">
        <v>12</v>
      </c>
      <c r="B14">
        <v>2</v>
      </c>
      <c r="C14">
        <f t="shared" si="0"/>
        <v>0.01</v>
      </c>
      <c r="D14">
        <f t="shared" si="2"/>
        <v>0.99</v>
      </c>
      <c r="E14">
        <f t="shared" si="1"/>
        <v>12</v>
      </c>
    </row>
    <row r="15" spans="1:5" x14ac:dyDescent="0.25">
      <c r="A15">
        <v>13</v>
      </c>
      <c r="B15">
        <v>1</v>
      </c>
      <c r="C15">
        <f t="shared" si="0"/>
        <v>5.0000000000000001E-3</v>
      </c>
      <c r="D15">
        <f t="shared" si="2"/>
        <v>0.995</v>
      </c>
      <c r="E15">
        <f t="shared" si="1"/>
        <v>13</v>
      </c>
    </row>
    <row r="16" spans="1:5" x14ac:dyDescent="0.25">
      <c r="A16">
        <v>14</v>
      </c>
      <c r="B16">
        <v>1</v>
      </c>
      <c r="C16">
        <f t="shared" si="0"/>
        <v>5.0000000000000001E-3</v>
      </c>
      <c r="D16">
        <f t="shared" si="2"/>
        <v>1</v>
      </c>
      <c r="E16">
        <f t="shared" si="1"/>
        <v>14</v>
      </c>
    </row>
    <row r="18" spans="1:2" x14ac:dyDescent="0.25">
      <c r="A18" t="s">
        <v>4</v>
      </c>
      <c r="B18">
        <f>SUMPRODUCT(A2:A16, C2:C16)</f>
        <v>5.705000000000001</v>
      </c>
    </row>
    <row r="19" spans="1:2" x14ac:dyDescent="0.25">
      <c r="A19" t="s">
        <v>5</v>
      </c>
      <c r="B19">
        <f>SUMPRODUCT((A2:A16 - B18)^2, C2:C16)</f>
        <v>7.3679749999999995</v>
      </c>
    </row>
    <row r="20" spans="1:2" x14ac:dyDescent="0.25">
      <c r="A20" t="s">
        <v>6</v>
      </c>
      <c r="B20">
        <f>SQRT(B19)</f>
        <v>2.714401407308801</v>
      </c>
    </row>
    <row r="21" spans="1:2" x14ac:dyDescent="0.25">
      <c r="A21" t="s">
        <v>7</v>
      </c>
      <c r="B21">
        <f>MIN(E2:E16)</f>
        <v>6</v>
      </c>
    </row>
    <row r="22" spans="1:2" x14ac:dyDescent="0.25">
      <c r="A22" t="s">
        <v>8</v>
      </c>
      <c r="B22">
        <f>INDEX(A2:A16, MATCH(MAX(C2:C16), C2:C16, 0))</f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2025-12-13T04:12:52Z</dcterms:created>
  <dcterms:modified xsi:type="dcterms:W3CDTF">2025-12-13T05:50:56Z</dcterms:modified>
</cp:coreProperties>
</file>